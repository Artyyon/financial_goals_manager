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ciament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tc={4662631f-dd68-4e9b-857b-f5d879b0d5f2}</author>
    <author>tc={9bedd82e-14bf-4485-b809-fb3210269bd7}</author>
  </authors>
  <commentList>
    <comment authorId="0" xr:uid="{4662631f-dd68-4e9b-857b-f5d879b0d5f2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coluna é meio irrelevante no momento atual onde estou apenas querendo saber o quanto vou gastar em cada coisa
</t>
      </text>
    </comment>
    <comment authorId="1" xr:uid="{9bedd82e-14bf-4485-b809-fb3210269bd7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Entrada ou saída, se estiver marcado é uma entrada, se não, uma saída.
</t>
      </text>
    </comment>
  </commentList>
</comments>
</file>

<file path=xl/sharedStrings.xml><?xml version="1.0" encoding="utf-8"?>
<sst xmlns="http://schemas.openxmlformats.org/spreadsheetml/2006/main" count="28" uniqueCount="21">
  <si>
    <t>id</t>
  </si>
  <si>
    <t>Data</t>
  </si>
  <si>
    <t>Descrição</t>
  </si>
  <si>
    <t>Tipo</t>
  </si>
  <si>
    <t>Valor</t>
  </si>
  <si>
    <t>Pago?</t>
  </si>
  <si>
    <t>Analise</t>
  </si>
  <si>
    <t>Salário Appersona</t>
  </si>
  <si>
    <t>Entrada</t>
  </si>
  <si>
    <t>Total de Entradas</t>
  </si>
  <si>
    <t>Conta de água</t>
  </si>
  <si>
    <t>Saída</t>
  </si>
  <si>
    <t>Total de Saídas</t>
  </si>
  <si>
    <t>Plano de Saúde</t>
  </si>
  <si>
    <t>Saldo Planejado</t>
  </si>
  <si>
    <t>Cartão de Crédito</t>
  </si>
  <si>
    <t>Desafio das 52 Semanas (Valor Mensal)</t>
  </si>
  <si>
    <t>Amazom Prime + Youtube Family Premium</t>
  </si>
  <si>
    <t xml:space="preserve">Ajuda da Kakau para a mala e câmera </t>
  </si>
  <si>
    <t>Ajuda mãe na compra do relógio do meu pai</t>
  </si>
  <si>
    <t xml:space="preserve">(5/10) Parcela da formatação do notebook da tia Euzenir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</si>
</sst>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4">
    <font>
      <sz val="10.0"/>
      <color rgb="FF000000"/>
      <name val="Arial"/>
      <scheme val="minor"/>
    </font>
    <font>
      <b/>
      <sz val="14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5" xfId="0" applyAlignment="1" applyFont="1" applyNumberFormat="1">
      <alignment horizontal="right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2" numFmtId="165" xfId="0" applyAlignment="1" applyFont="1" applyNumberFormat="1">
      <alignment horizontal="right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2" numFmtId="165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  <tableStyles count="1">
    <tableStyle count="3" pivot="0" name="Gerenciamen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hur Paes Leme Stiegler" id="{4b6316d4-55ef-4d33-bda3-8b15240575fb}" providerId="google-sheets"/>
</x18tc:personList>
</file>

<file path=xl/tables/table1.xml><?xml version="1.0" encoding="utf-8"?>
<table xmlns="http://schemas.openxmlformats.org/spreadsheetml/2006/main" ref="A1:F31" displayName="Table_1" name="Table_1" id="1">
  <tableColumns count="6">
    <tableColumn name="id" id="1"/>
    <tableColumn name="Data" id="2"/>
    <tableColumn name="Descrição" id="3"/>
    <tableColumn name="Tipo" id="4"/>
    <tableColumn name="Valor" id="5"/>
    <tableColumn name="Pago?" id="6"/>
  </tableColumns>
  <tableStyleInfo name="Gerenci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6-01-30T12:07:27.00" personId="{4b6316d4-55ef-4d33-bda3-8b15240575fb}" id="{9bedd82e-14bf-4485-b809-fb3210269bd7}" done="1">
    <x18tc:text xml:space="preserve">Entrada ou saída, se estiver marcado é uma entrada, se não, uma saída.</x18tc:text>
  </x18tc:threadedComment>
  <x18tc:threadedComment ref="B1" dT="2026-01-30T12:18:15.00" personId="{4b6316d4-55ef-4d33-bda3-8b15240575fb}" id="{4662631f-dd68-4e9b-857b-f5d879b0d5f2}" done="0">
    <x18tc:text xml:space="preserve">Essa coluna é meio irrelevante no momento atual onde estou apenas querendo saber o quanto vou gastar em cada coisa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5"/>
    <col customWidth="1" min="3" max="3" width="46.63"/>
    <col customWidth="1" min="4" max="4" width="16.0"/>
    <col customWidth="1" min="5" max="5" width="18.13"/>
    <col customWidth="1" min="6" max="6" width="10.13"/>
    <col customWidth="1" min="8" max="8" width="23.5"/>
    <col customWidth="1" min="9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>
        <v>1.0</v>
      </c>
      <c r="B2" s="5"/>
      <c r="C2" s="6" t="s">
        <v>7</v>
      </c>
      <c r="D2" s="4" t="s">
        <v>8</v>
      </c>
      <c r="E2" s="7">
        <v>1404.15</v>
      </c>
      <c r="F2" s="8" t="b">
        <v>1</v>
      </c>
      <c r="G2" s="2"/>
      <c r="H2" s="9" t="s">
        <v>9</v>
      </c>
      <c r="I2" s="10">
        <f>SUMIF(D:D,"Entrada",E:E)</f>
        <v>1677.27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">
        <v>2.0</v>
      </c>
      <c r="B3" s="5"/>
      <c r="C3" s="6" t="s">
        <v>10</v>
      </c>
      <c r="D3" s="4" t="s">
        <v>11</v>
      </c>
      <c r="E3" s="7">
        <v>178.55</v>
      </c>
      <c r="F3" s="8" t="b">
        <v>1</v>
      </c>
      <c r="G3" s="2"/>
      <c r="H3" s="11" t="s">
        <v>12</v>
      </c>
      <c r="I3" s="12">
        <f>SUMIF(D:D,"Saída",E:E)</f>
        <v>1899.47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">
        <v>3.0</v>
      </c>
      <c r="B4" s="5"/>
      <c r="C4" s="6" t="s">
        <v>13</v>
      </c>
      <c r="D4" s="4" t="s">
        <v>11</v>
      </c>
      <c r="E4" s="7">
        <v>541.84</v>
      </c>
      <c r="F4" s="8" t="b">
        <v>1</v>
      </c>
      <c r="G4" s="2"/>
      <c r="H4" s="9" t="s">
        <v>14</v>
      </c>
      <c r="I4" s="10">
        <f> I2 - I3</f>
        <v>-222.2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">
        <v>4.0</v>
      </c>
      <c r="B5" s="5"/>
      <c r="C5" s="6" t="s">
        <v>15</v>
      </c>
      <c r="D5" s="4" t="s">
        <v>11</v>
      </c>
      <c r="E5" s="7">
        <v>1015.28</v>
      </c>
      <c r="F5" s="8" t="b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4">
        <v>5.0</v>
      </c>
      <c r="B6" s="5"/>
      <c r="C6" s="6" t="s">
        <v>16</v>
      </c>
      <c r="D6" s="4" t="s">
        <v>11</v>
      </c>
      <c r="E6" s="7">
        <v>90.0</v>
      </c>
      <c r="F6" s="8" t="b">
        <v>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">
        <v>6.0</v>
      </c>
      <c r="B7" s="5"/>
      <c r="C7" s="6" t="s">
        <v>17</v>
      </c>
      <c r="D7" s="4" t="s">
        <v>11</v>
      </c>
      <c r="E7" s="7">
        <v>73.8</v>
      </c>
      <c r="F7" s="8" t="b"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4">
        <v>7.0</v>
      </c>
      <c r="B8" s="5"/>
      <c r="C8" s="6" t="s">
        <v>18</v>
      </c>
      <c r="D8" s="4" t="s">
        <v>8</v>
      </c>
      <c r="E8" s="7">
        <v>125.0</v>
      </c>
      <c r="F8" s="8" t="b"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">
        <v>8.0</v>
      </c>
      <c r="B9" s="5"/>
      <c r="C9" s="6" t="s">
        <v>19</v>
      </c>
      <c r="D9" s="4" t="s">
        <v>8</v>
      </c>
      <c r="E9" s="7">
        <v>70.0</v>
      </c>
      <c r="F9" s="8" t="b"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4">
        <v>9.0</v>
      </c>
      <c r="B10" s="5"/>
      <c r="C10" s="6" t="s">
        <v>20</v>
      </c>
      <c r="D10" s="4" t="s">
        <v>8</v>
      </c>
      <c r="E10" s="7">
        <v>78.12</v>
      </c>
      <c r="F10" s="8" t="b"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">
        <v>10.0</v>
      </c>
      <c r="B11" s="5"/>
      <c r="C11" s="13"/>
      <c r="D11" s="14"/>
      <c r="E11" s="7"/>
      <c r="F11" s="8" t="b"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">
        <v>11.0</v>
      </c>
      <c r="B12" s="5"/>
      <c r="C12" s="13"/>
      <c r="D12" s="14"/>
      <c r="E12" s="7"/>
      <c r="F12" s="8" t="b"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">
        <v>12.0</v>
      </c>
      <c r="B13" s="5"/>
      <c r="C13" s="13"/>
      <c r="D13" s="14"/>
      <c r="E13" s="7"/>
      <c r="F13" s="8" t="b"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">
        <v>13.0</v>
      </c>
      <c r="B14" s="5"/>
      <c r="C14" s="13"/>
      <c r="D14" s="14"/>
      <c r="E14" s="7"/>
      <c r="F14" s="8" t="b"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">
        <v>14.0</v>
      </c>
      <c r="B15" s="5"/>
      <c r="C15" s="13"/>
      <c r="D15" s="14"/>
      <c r="E15" s="7"/>
      <c r="F15" s="8" t="b"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">
        <v>15.0</v>
      </c>
      <c r="B16" s="5"/>
      <c r="C16" s="13"/>
      <c r="D16" s="14"/>
      <c r="E16" s="7"/>
      <c r="F16" s="8" t="b"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">
        <v>16.0</v>
      </c>
      <c r="B17" s="5"/>
      <c r="C17" s="13"/>
      <c r="D17" s="14"/>
      <c r="E17" s="7"/>
      <c r="F17" s="8" t="b"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">
        <v>17.0</v>
      </c>
      <c r="B18" s="5"/>
      <c r="C18" s="13"/>
      <c r="D18" s="14"/>
      <c r="E18" s="7"/>
      <c r="F18" s="8" t="b">
        <v>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">
        <v>18.0</v>
      </c>
      <c r="B19" s="5"/>
      <c r="C19" s="13"/>
      <c r="D19" s="14"/>
      <c r="E19" s="7"/>
      <c r="F19" s="8" t="b">
        <v>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">
        <v>19.0</v>
      </c>
      <c r="B20" s="5"/>
      <c r="C20" s="13"/>
      <c r="D20" s="14"/>
      <c r="E20" s="7"/>
      <c r="F20" s="8" t="b">
        <v>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">
        <v>20.0</v>
      </c>
      <c r="B21" s="5"/>
      <c r="C21" s="13"/>
      <c r="D21" s="14"/>
      <c r="E21" s="7"/>
      <c r="F21" s="8" t="b"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">
        <v>21.0</v>
      </c>
      <c r="B22" s="5"/>
      <c r="C22" s="13"/>
      <c r="D22" s="14"/>
      <c r="E22" s="7"/>
      <c r="F22" s="8" t="b">
        <v>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">
        <v>22.0</v>
      </c>
      <c r="B23" s="5"/>
      <c r="C23" s="13"/>
      <c r="D23" s="14"/>
      <c r="E23" s="7"/>
      <c r="F23" s="8" t="b">
        <v>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">
        <v>23.0</v>
      </c>
      <c r="B24" s="5"/>
      <c r="C24" s="13"/>
      <c r="D24" s="14"/>
      <c r="E24" s="7"/>
      <c r="F24" s="8" t="b">
        <v>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">
        <v>24.0</v>
      </c>
      <c r="B25" s="5"/>
      <c r="C25" s="13"/>
      <c r="D25" s="14"/>
      <c r="E25" s="7"/>
      <c r="F25" s="8" t="b">
        <v>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">
        <v>25.0</v>
      </c>
      <c r="B26" s="5"/>
      <c r="C26" s="13"/>
      <c r="D26" s="14"/>
      <c r="E26" s="7"/>
      <c r="F26" s="8" t="b">
        <v>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">
        <v>26.0</v>
      </c>
      <c r="B27" s="5"/>
      <c r="C27" s="13"/>
      <c r="D27" s="14"/>
      <c r="E27" s="7"/>
      <c r="F27" s="8" t="b">
        <v>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">
        <v>27.0</v>
      </c>
      <c r="B28" s="5"/>
      <c r="C28" s="13"/>
      <c r="D28" s="14"/>
      <c r="E28" s="7"/>
      <c r="F28" s="8" t="b">
        <v>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">
        <v>28.0</v>
      </c>
      <c r="B29" s="5"/>
      <c r="C29" s="13"/>
      <c r="D29" s="14"/>
      <c r="E29" s="7"/>
      <c r="F29" s="8" t="b">
        <v>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">
        <v>29.0</v>
      </c>
      <c r="B30" s="5"/>
      <c r="C30" s="13"/>
      <c r="D30" s="14"/>
      <c r="E30" s="7"/>
      <c r="F30" s="8" t="b">
        <v>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">
        <v>30.0</v>
      </c>
      <c r="B31" s="5"/>
      <c r="C31" s="13"/>
      <c r="D31" s="14"/>
      <c r="E31" s="7"/>
      <c r="F31" s="8" t="b">
        <v>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H1:I1"/>
  </mergeCells>
  <conditionalFormatting sqref="I4">
    <cfRule type="cellIs" dxfId="4" priority="1" operator="lessThanOrEqual">
      <formula>0</formula>
    </cfRule>
  </conditionalFormatting>
  <conditionalFormatting sqref="I4">
    <cfRule type="cellIs" dxfId="5" priority="2" operator="greaterThanOrEqual">
      <formula> I2 * 0.5</formula>
    </cfRule>
  </conditionalFormatting>
  <conditionalFormatting sqref="I4">
    <cfRule type="cellIs" dxfId="6" priority="3" operator="lessThan">
      <formula> I2 * 0.5</formula>
    </cfRule>
  </conditionalFormatting>
  <dataValidations>
    <dataValidation type="list" allowBlank="1" showErrorMessage="1" sqref="D2:D31">
      <formula1>"Entrada,Saída"</formula1>
    </dataValidation>
  </dataValidations>
  <drawing r:id="rId4"/>
  <legacyDrawing r:id="rId5"/>
  <tableParts count="1">
    <tablePart r:id="rId7"/>
  </tableParts>
</worksheet>
</file>