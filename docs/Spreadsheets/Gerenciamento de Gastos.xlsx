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as" sheetId="1" r:id="rId5"/>
    <sheet state="visible" name="Kakau - 122025" sheetId="2" r:id="rId6"/>
    <sheet state="visible" name="Art - 122025" sheetId="3" r:id="rId7"/>
    <sheet state="visible" name="Família - 122025" sheetId="4" r:id="rId8"/>
  </sheets>
  <definedNames/>
  <calcPr/>
</workbook>
</file>

<file path=xl/sharedStrings.xml><?xml version="1.0" encoding="utf-8"?>
<sst xmlns="http://schemas.openxmlformats.org/spreadsheetml/2006/main" count="99" uniqueCount="71">
  <si>
    <t># Categorias de Gastos</t>
  </si>
  <si>
    <t>## 🍽 Alimentação</t>
  </si>
  <si>
    <t>- Mercado</t>
  </si>
  <si>
    <t>- Restaurante</t>
  </si>
  <si>
    <t>- Delivery</t>
  </si>
  <si>
    <t>- Café / Snacks</t>
  </si>
  <si>
    <t>## 🏡 Casa &amp; Utilidades</t>
  </si>
  <si>
    <t>- Aluguel</t>
  </si>
  <si>
    <t>- Água</t>
  </si>
  <si>
    <t>- Luz</t>
  </si>
  <si>
    <t>- Internet</t>
  </si>
  <si>
    <t>- Gás</t>
  </si>
  <si>
    <t>## 🚗 Transporte</t>
  </si>
  <si>
    <t>- Transporte por aplicativo (Uber, 99)</t>
  </si>
  <si>
    <t>- Combustível</t>
  </si>
  <si>
    <t>- Manutenção</t>
  </si>
  <si>
    <t>- Estacionamento</t>
  </si>
  <si>
    <t>## 💊 Saúde &amp; Bem-estar</t>
  </si>
  <si>
    <t>- Medicamentos</t>
  </si>
  <si>
    <t>- Consultas</t>
  </si>
  <si>
    <t>- Academia</t>
  </si>
  <si>
    <t>- Terapia / Psicólogo</t>
  </si>
  <si>
    <t>- Suplementos</t>
  </si>
  <si>
    <t>## 🎉 Lazer &amp; Entretenimento</t>
  </si>
  <si>
    <t>- Passeios</t>
  </si>
  <si>
    <t>- Cinema</t>
  </si>
  <si>
    <t>- Jogos / Apps</t>
  </si>
  <si>
    <t>- Assinaturas (Netflix, Spotify, etc.)</t>
  </si>
  <si>
    <t>- Viagens</t>
  </si>
  <si>
    <t>## 🛍 Compras / Itens Pessoais</t>
  </si>
  <si>
    <t>- Roupas</t>
  </si>
  <si>
    <t>- Calçados</t>
  </si>
  <si>
    <t>- Cosméticos</t>
  </si>
  <si>
    <t>- Presentes</t>
  </si>
  <si>
    <t>## 💼 Trabalho / Estudos</t>
  </si>
  <si>
    <t>- Cursos</t>
  </si>
  <si>
    <t>- Livros</t>
  </si>
  <si>
    <t>- Equipamentos / Ferramentas</t>
  </si>
  <si>
    <t>## 🐾 Pets</t>
  </si>
  <si>
    <t>- Ração</t>
  </si>
  <si>
    <t>- Veterinário</t>
  </si>
  <si>
    <t>- Acessórios</t>
  </si>
  <si>
    <t>## 💸 Financeiro</t>
  </si>
  <si>
    <t>- Parcelamentos</t>
  </si>
  <si>
    <t>- Dívidas</t>
  </si>
  <si>
    <t>- Taxas / Juros bancários</t>
  </si>
  <si>
    <t>## 🎁 Outros / Emergências</t>
  </si>
  <si>
    <t>- Gastos ocasionais</t>
  </si>
  <si>
    <t>- Itens fora do planejamento</t>
  </si>
  <si>
    <t>Data</t>
  </si>
  <si>
    <t>Descrição</t>
  </si>
  <si>
    <t>Categoria</t>
  </si>
  <si>
    <t>Valor (R$)</t>
  </si>
  <si>
    <t>Compra no mercado para fazer uma janta, carne moída com batata.</t>
  </si>
  <si>
    <t>Alimentação</t>
  </si>
  <si>
    <t>Ida no subway com a kakau para jantar.</t>
  </si>
  <si>
    <t>Compra de coisas no mercado, como chá, refrigerante e doces.</t>
  </si>
  <si>
    <t>Compra de frango e outros acompanhamentos para fazer a janta.</t>
  </si>
  <si>
    <t>Compra de açaí na praça da matriz.</t>
  </si>
  <si>
    <t>Compra de tomates</t>
  </si>
  <si>
    <t>Gerenciamento de Gastos</t>
  </si>
  <si>
    <t>Limite (R$)</t>
  </si>
  <si>
    <t>Total Gasto (R$)</t>
  </si>
  <si>
    <t>Saldo Restante (R$)</t>
  </si>
  <si>
    <t>Uber para ir para casa da kakau</t>
  </si>
  <si>
    <t>Transporte</t>
  </si>
  <si>
    <t>Compra de um fone P2 para usar no R36S</t>
  </si>
  <si>
    <t>Compras / Itens Pessoais</t>
  </si>
  <si>
    <t>Compra de erva de tereré do pato - Chacal</t>
  </si>
  <si>
    <t>Compra de doces para mim e para kakau no megafruit</t>
  </si>
  <si>
    <t>Compra de bebida proteíca para a minha janta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</si>
</sst>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dd/mm/yyyy"/>
  </numFmts>
  <fonts count="3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1" numFmtId="165" xfId="0" applyAlignment="1" applyFont="1" applyNumberForma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1" numFmtId="165" xfId="0" applyAlignment="1" applyFont="1" applyNumberFormat="1">
      <alignment horizontal="center" shrinkToFit="0" vertical="center" wrapText="1"/>
    </xf>
    <xf borderId="0" fillId="3" fontId="1" numFmtId="165" xfId="0" applyAlignment="1" applyFont="1" applyNumberFormat="1">
      <alignment horizontal="center" shrinkToFit="0" vertical="center" wrapText="1"/>
    </xf>
    <xf borderId="0" fillId="3" fontId="1" numFmtId="164" xfId="0" applyAlignment="1" applyFont="1" applyNumberFormat="1">
      <alignment horizontal="center" shrinkToFit="0" wrapText="1"/>
    </xf>
    <xf borderId="0" fillId="3" fontId="1" numFmtId="0" xfId="0" applyAlignment="1" applyFont="1">
      <alignment horizontal="center" shrinkToFit="0" wrapText="1"/>
    </xf>
    <xf borderId="0" fillId="3" fontId="1" numFmtId="165" xfId="0" applyAlignment="1" applyFont="1" applyNumberFormat="1">
      <alignment horizontal="center" shrinkToFit="0" wrapText="1"/>
    </xf>
    <xf borderId="0" fillId="5" fontId="1" numFmtId="164" xfId="0" applyAlignment="1" applyFill="1" applyFont="1" applyNumberFormat="1">
      <alignment horizontal="center" shrinkToFit="0" wrapText="1"/>
    </xf>
    <xf borderId="0" fillId="5" fontId="1" numFmtId="0" xfId="0" applyAlignment="1" applyFont="1">
      <alignment horizontal="center" shrinkToFit="0" wrapText="1"/>
    </xf>
    <xf borderId="0" fillId="5" fontId="1" numFmtId="165" xfId="0" applyAlignment="1" applyFont="1" applyNumberFormat="1">
      <alignment horizontal="center" shrinkToFit="0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1" numFmtId="165" xfId="0" applyAlignment="1" applyFont="1" applyNumberFormat="1">
      <alignment horizontal="center" readingOrder="0" shrinkToFit="0" vertical="center" wrapText="1"/>
    </xf>
    <xf borderId="0" fillId="5" fontId="1" numFmtId="164" xfId="0" applyAlignment="1" applyFont="1" applyNumberFormat="1">
      <alignment horizontal="center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5" fontId="1" numFmtId="165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3">
    <tableStyle count="3" pivot="0" name="Kakau - 122025-style">
      <tableStyleElement dxfId="1" type="headerRow"/>
      <tableStyleElement dxfId="2" type="firstRowStripe"/>
      <tableStyleElement dxfId="3" type="secondRowStripe"/>
    </tableStyle>
    <tableStyle count="3" pivot="0" name="Art - 122025-style">
      <tableStyleElement dxfId="1" type="headerRow"/>
      <tableStyleElement dxfId="2" type="firstRowStripe"/>
      <tableStyleElement dxfId="3" type="secondRowStripe"/>
    </tableStyle>
    <tableStyle count="3" pivot="0" name="Família - 12202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1" displayName="Table_1" name="Table_1" id="1">
  <tableColumns count="4">
    <tableColumn name="Data" id="1"/>
    <tableColumn name="Descrição" id="2"/>
    <tableColumn name="Categoria" id="3"/>
    <tableColumn name="Valor (R$)" id="4"/>
  </tableColumns>
  <tableStyleInfo name="Kakau - 122025-style" showColumnStripes="0" showFirstColumn="1" showLastColumn="1" showRowStripes="1"/>
</table>
</file>

<file path=xl/tables/table2.xml><?xml version="1.0" encoding="utf-8"?>
<table xmlns="http://schemas.openxmlformats.org/spreadsheetml/2006/main" ref="A1:D31" displayName="Table_2" name="Table_2" id="2">
  <tableColumns count="4">
    <tableColumn name="Data" id="1"/>
    <tableColumn name="Descrição" id="2"/>
    <tableColumn name="Categoria" id="3"/>
    <tableColumn name="Valor (R$)" id="4"/>
  </tableColumns>
  <tableStyleInfo name="Art - 122025-style" showColumnStripes="0" showFirstColumn="1" showLastColumn="1" showRowStripes="1"/>
</table>
</file>

<file path=xl/tables/table3.xml><?xml version="1.0" encoding="utf-8"?>
<table xmlns="http://schemas.openxmlformats.org/spreadsheetml/2006/main" ref="A1:D31" displayName="Table_3" name="Table_3" id="3">
  <tableColumns count="4">
    <tableColumn name="Data" id="1"/>
    <tableColumn name="Descrição" id="2"/>
    <tableColumn name="Categoria" id="3"/>
    <tableColumn name="Valor (R$)" id="4"/>
  </tableColumns>
  <tableStyleInfo name="Família - 12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20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21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24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25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26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28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30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31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32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33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34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35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36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37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38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39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40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41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42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43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44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45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46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47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48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46.88"/>
    <col customWidth="1" min="3" max="3" width="21.38"/>
    <col customWidth="1" min="4" max="4" width="14.25"/>
  </cols>
  <sheetData>
    <row r="1" ht="21.75" customHeight="1">
      <c r="A1" s="3" t="s">
        <v>49</v>
      </c>
      <c r="B1" s="3" t="s">
        <v>50</v>
      </c>
      <c r="C1" s="3" t="s">
        <v>51</v>
      </c>
      <c r="D1" s="3" t="s">
        <v>52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45992.0</v>
      </c>
      <c r="B2" s="6" t="s">
        <v>53</v>
      </c>
      <c r="C2" s="7" t="s">
        <v>54</v>
      </c>
      <c r="D2" s="7">
        <v>37.23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45993.0</v>
      </c>
      <c r="B3" s="6" t="s">
        <v>55</v>
      </c>
      <c r="C3" s="7" t="s">
        <v>54</v>
      </c>
      <c r="D3" s="7">
        <v>51.0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45994.0</v>
      </c>
      <c r="B4" s="6" t="s">
        <v>56</v>
      </c>
      <c r="C4" s="7" t="s">
        <v>54</v>
      </c>
      <c r="D4" s="7">
        <v>35.14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45996.0</v>
      </c>
      <c r="B5" s="6" t="s">
        <v>57</v>
      </c>
      <c r="C5" s="7" t="s">
        <v>54</v>
      </c>
      <c r="D5" s="7">
        <v>26.12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45996.0</v>
      </c>
      <c r="B6" s="6" t="s">
        <v>58</v>
      </c>
      <c r="C6" s="7" t="s">
        <v>54</v>
      </c>
      <c r="D6" s="7">
        <v>45.0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45996.0</v>
      </c>
      <c r="B7" s="6" t="s">
        <v>59</v>
      </c>
      <c r="C7" s="7" t="s">
        <v>54</v>
      </c>
      <c r="D7" s="7">
        <v>2.0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8"/>
      <c r="B8" s="9"/>
      <c r="C8" s="10"/>
      <c r="D8" s="1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8"/>
      <c r="B9" s="9"/>
      <c r="C9" s="10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8"/>
      <c r="B10" s="9"/>
      <c r="C10" s="10"/>
      <c r="D10" s="1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8"/>
      <c r="B11" s="9"/>
      <c r="C11" s="10"/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8"/>
      <c r="B12" s="9"/>
      <c r="C12" s="10"/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8"/>
      <c r="B13" s="9"/>
      <c r="C13" s="10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8"/>
      <c r="B14" s="9"/>
      <c r="C14" s="10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8"/>
      <c r="B15" s="9"/>
      <c r="C15" s="10"/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8"/>
      <c r="B16" s="9"/>
      <c r="C16" s="10"/>
      <c r="D16" s="1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8"/>
      <c r="B17" s="9"/>
      <c r="C17" s="10"/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8"/>
      <c r="B18" s="9"/>
      <c r="C18" s="10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8"/>
      <c r="B19" s="9"/>
      <c r="C19" s="10"/>
      <c r="D19" s="1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8"/>
      <c r="B20" s="9"/>
      <c r="C20" s="10"/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8"/>
      <c r="B21" s="9"/>
      <c r="C21" s="10"/>
      <c r="D21" s="1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8"/>
      <c r="B22" s="9"/>
      <c r="C22" s="10"/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8"/>
      <c r="B23" s="9"/>
      <c r="C23" s="10"/>
      <c r="D23" s="1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8"/>
      <c r="B24" s="9"/>
      <c r="C24" s="10"/>
      <c r="D24" s="1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8"/>
      <c r="B25" s="9"/>
      <c r="C25" s="10"/>
      <c r="D25" s="1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8"/>
      <c r="B26" s="9"/>
      <c r="C26" s="10"/>
      <c r="D26" s="1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8"/>
      <c r="B27" s="9"/>
      <c r="C27" s="10"/>
      <c r="D27" s="1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8"/>
      <c r="B28" s="9"/>
      <c r="C28" s="10"/>
      <c r="D28" s="1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8"/>
      <c r="B29" s="9"/>
      <c r="C29" s="10"/>
      <c r="D29" s="1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8"/>
      <c r="B30" s="9"/>
      <c r="C30" s="10"/>
      <c r="D30" s="1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8"/>
      <c r="B31" s="9"/>
      <c r="C31" s="10"/>
      <c r="D31" s="1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1" t="s">
        <v>60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" t="s">
        <v>61</v>
      </c>
      <c r="B34" s="13">
        <v>400.0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4" t="s">
        <v>62</v>
      </c>
      <c r="B35" s="15">
        <f>SUMIF(D2:D31, "&gt;0")
</f>
        <v>196.49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" t="s">
        <v>63</v>
      </c>
      <c r="B36" s="16">
        <f> B34 - SUMIF(D2:D31, "&gt;0")
</f>
        <v>203.51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1">
    <mergeCell ref="A33:B33"/>
  </mergeCells>
  <conditionalFormatting sqref="B36">
    <cfRule type="cellIs" dxfId="4" priority="1" operator="greaterThan">
      <formula>0</formula>
    </cfRule>
  </conditionalFormatting>
  <conditionalFormatting sqref="B36">
    <cfRule type="cellIs" dxfId="5" priority="2" operator="lessThan">
      <formula>0</formula>
    </cfRule>
  </conditionalFormatting>
  <conditionalFormatting sqref="B36">
    <cfRule type="cellIs" dxfId="6" priority="3" operator="equal">
      <formula>0</formula>
    </cfRule>
  </conditionalFormatting>
  <dataValidations>
    <dataValidation type="list" allowBlank="1" showErrorMessage="1" sqref="C2:C31">
      <formula1>"Alimentação,Casa &amp; Utilidades,Transporte,Saúde &amp; Bem-estar,Lazer &amp; Entretenimento,Compras / Itens Pessoais,Trabalho / Estudos,Pets,Financeiro,Outros / Emergências"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46.88"/>
    <col customWidth="1" min="3" max="3" width="21.38"/>
    <col customWidth="1" min="4" max="4" width="14.25"/>
  </cols>
  <sheetData>
    <row r="1" ht="21.75" customHeight="1">
      <c r="A1" s="3" t="s">
        <v>49</v>
      </c>
      <c r="B1" s="3" t="s">
        <v>50</v>
      </c>
      <c r="C1" s="3" t="s">
        <v>51</v>
      </c>
      <c r="D1" s="3" t="s">
        <v>52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7">
        <v>45994.0</v>
      </c>
      <c r="B2" s="18" t="s">
        <v>64</v>
      </c>
      <c r="C2" s="19" t="s">
        <v>65</v>
      </c>
      <c r="D2" s="19">
        <v>15.0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0">
        <v>45995.0</v>
      </c>
      <c r="B3" s="21" t="s">
        <v>64</v>
      </c>
      <c r="C3" s="22" t="s">
        <v>65</v>
      </c>
      <c r="D3" s="22">
        <v>14.6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45995.0</v>
      </c>
      <c r="B4" s="6" t="s">
        <v>66</v>
      </c>
      <c r="C4" s="7" t="s">
        <v>67</v>
      </c>
      <c r="D4" s="7">
        <v>57.0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45996.0</v>
      </c>
      <c r="B5" s="6" t="s">
        <v>68</v>
      </c>
      <c r="C5" s="7" t="s">
        <v>54</v>
      </c>
      <c r="D5" s="7">
        <v>23.5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45996.0</v>
      </c>
      <c r="B6" s="6" t="s">
        <v>69</v>
      </c>
      <c r="C6" s="7" t="s">
        <v>54</v>
      </c>
      <c r="D6" s="7">
        <v>47.49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3">
        <v>45999.0</v>
      </c>
      <c r="B7" s="6" t="s">
        <v>70</v>
      </c>
      <c r="C7" s="7" t="s">
        <v>54</v>
      </c>
      <c r="D7" s="7">
        <v>29.94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8"/>
      <c r="B8" s="9"/>
      <c r="C8" s="10"/>
      <c r="D8" s="1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8"/>
      <c r="B9" s="9"/>
      <c r="C9" s="10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8"/>
      <c r="B10" s="9"/>
      <c r="C10" s="10"/>
      <c r="D10" s="1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8"/>
      <c r="B11" s="9"/>
      <c r="C11" s="10"/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8"/>
      <c r="B12" s="9"/>
      <c r="C12" s="10"/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8"/>
      <c r="B13" s="9"/>
      <c r="C13" s="10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8"/>
      <c r="B14" s="9"/>
      <c r="C14" s="10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8"/>
      <c r="B15" s="9"/>
      <c r="C15" s="10"/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8"/>
      <c r="B16" s="9"/>
      <c r="C16" s="10"/>
      <c r="D16" s="1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8"/>
      <c r="B17" s="9"/>
      <c r="C17" s="10"/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8"/>
      <c r="B18" s="9"/>
      <c r="C18" s="10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8"/>
      <c r="B19" s="9"/>
      <c r="C19" s="10"/>
      <c r="D19" s="1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8"/>
      <c r="B20" s="9"/>
      <c r="C20" s="10"/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8"/>
      <c r="B21" s="9"/>
      <c r="C21" s="10"/>
      <c r="D21" s="1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8"/>
      <c r="B22" s="9"/>
      <c r="C22" s="10"/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8"/>
      <c r="B23" s="9"/>
      <c r="C23" s="10"/>
      <c r="D23" s="1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8"/>
      <c r="B24" s="9"/>
      <c r="C24" s="10"/>
      <c r="D24" s="1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8"/>
      <c r="B25" s="9"/>
      <c r="C25" s="10"/>
      <c r="D25" s="1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8"/>
      <c r="B26" s="9"/>
      <c r="C26" s="10"/>
      <c r="D26" s="1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8"/>
      <c r="B27" s="9"/>
      <c r="C27" s="10"/>
      <c r="D27" s="1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8"/>
      <c r="B28" s="9"/>
      <c r="C28" s="10"/>
      <c r="D28" s="1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8"/>
      <c r="B29" s="9"/>
      <c r="C29" s="10"/>
      <c r="D29" s="1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8"/>
      <c r="B30" s="9"/>
      <c r="C30" s="10"/>
      <c r="D30" s="1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8"/>
      <c r="B31" s="9"/>
      <c r="C31" s="10"/>
      <c r="D31" s="1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1" t="s">
        <v>60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" t="s">
        <v>61</v>
      </c>
      <c r="B34" s="13">
        <v>200.0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4" t="s">
        <v>62</v>
      </c>
      <c r="B35" s="15">
        <f>SUMIF(D2:D31, "&gt;0")
</f>
        <v>187.53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" t="s">
        <v>63</v>
      </c>
      <c r="B36" s="16">
        <f> B34 - SUMIF(D2:D31, "&gt;0")
</f>
        <v>12.47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1">
    <mergeCell ref="A33:B33"/>
  </mergeCells>
  <conditionalFormatting sqref="B36">
    <cfRule type="cellIs" dxfId="4" priority="1" operator="greaterThan">
      <formula>0</formula>
    </cfRule>
  </conditionalFormatting>
  <conditionalFormatting sqref="B36">
    <cfRule type="cellIs" dxfId="5" priority="2" operator="lessThan">
      <formula>0</formula>
    </cfRule>
  </conditionalFormatting>
  <conditionalFormatting sqref="B36">
    <cfRule type="cellIs" dxfId="6" priority="3" operator="equal">
      <formula>0</formula>
    </cfRule>
  </conditionalFormatting>
  <dataValidations>
    <dataValidation type="list" allowBlank="1" showErrorMessage="1" sqref="C2:C31">
      <formula1>"Alimentação,Casa &amp; Utilidades,Transporte,Saúde &amp; Bem-estar,Lazer &amp; Entretenimento,Compras / Itens Pessoais,Trabalho / Estudos,Pets,Financeiro,Outros / Emergências"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46.88"/>
    <col customWidth="1" min="3" max="3" width="21.38"/>
    <col customWidth="1" min="4" max="4" width="14.25"/>
  </cols>
  <sheetData>
    <row r="1" ht="21.75" customHeight="1">
      <c r="A1" s="3" t="s">
        <v>49</v>
      </c>
      <c r="B1" s="3" t="s">
        <v>50</v>
      </c>
      <c r="C1" s="3" t="s">
        <v>51</v>
      </c>
      <c r="D1" s="3" t="s">
        <v>52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24">
        <v>45996.0</v>
      </c>
      <c r="B2" s="25" t="s">
        <v>57</v>
      </c>
      <c r="C2" s="26" t="s">
        <v>54</v>
      </c>
      <c r="D2" s="26">
        <v>26.12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7"/>
      <c r="B3" s="28"/>
      <c r="C3" s="29"/>
      <c r="D3" s="29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/>
      <c r="B4" s="6"/>
      <c r="C4" s="7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8"/>
      <c r="B5" s="9"/>
      <c r="C5" s="10"/>
      <c r="D5" s="10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/>
      <c r="B6" s="9"/>
      <c r="C6" s="10"/>
      <c r="D6" s="1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8"/>
      <c r="B7" s="9"/>
      <c r="C7" s="10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8"/>
      <c r="B8" s="9"/>
      <c r="C8" s="10"/>
      <c r="D8" s="1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8"/>
      <c r="B9" s="9"/>
      <c r="C9" s="10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8"/>
      <c r="B10" s="9"/>
      <c r="C10" s="10"/>
      <c r="D10" s="1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8"/>
      <c r="B11" s="9"/>
      <c r="C11" s="10"/>
      <c r="D11" s="1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8"/>
      <c r="B12" s="9"/>
      <c r="C12" s="10"/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8"/>
      <c r="B13" s="9"/>
      <c r="C13" s="10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8"/>
      <c r="B14" s="9"/>
      <c r="C14" s="10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8"/>
      <c r="B15" s="9"/>
      <c r="C15" s="10"/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8"/>
      <c r="B16" s="9"/>
      <c r="C16" s="10"/>
      <c r="D16" s="1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8"/>
      <c r="B17" s="9"/>
      <c r="C17" s="10"/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8"/>
      <c r="B18" s="9"/>
      <c r="C18" s="10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8"/>
      <c r="B19" s="9"/>
      <c r="C19" s="10"/>
      <c r="D19" s="1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8"/>
      <c r="B20" s="9"/>
      <c r="C20" s="10"/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8"/>
      <c r="B21" s="9"/>
      <c r="C21" s="10"/>
      <c r="D21" s="1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8"/>
      <c r="B22" s="9"/>
      <c r="C22" s="10"/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8"/>
      <c r="B23" s="9"/>
      <c r="C23" s="10"/>
      <c r="D23" s="1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8"/>
      <c r="B24" s="9"/>
      <c r="C24" s="10"/>
      <c r="D24" s="1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8"/>
      <c r="B25" s="9"/>
      <c r="C25" s="10"/>
      <c r="D25" s="1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8"/>
      <c r="B26" s="9"/>
      <c r="C26" s="10"/>
      <c r="D26" s="1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8"/>
      <c r="B27" s="9"/>
      <c r="C27" s="10"/>
      <c r="D27" s="1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8"/>
      <c r="B28" s="9"/>
      <c r="C28" s="10"/>
      <c r="D28" s="1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8"/>
      <c r="B29" s="9"/>
      <c r="C29" s="10"/>
      <c r="D29" s="1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8"/>
      <c r="B30" s="9"/>
      <c r="C30" s="10"/>
      <c r="D30" s="1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8"/>
      <c r="B31" s="9"/>
      <c r="C31" s="10"/>
      <c r="D31" s="1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1" t="s">
        <v>60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" t="s">
        <v>61</v>
      </c>
      <c r="B34" s="13">
        <v>200.0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4" t="s">
        <v>62</v>
      </c>
      <c r="B35" s="15">
        <f>SUMIF(D2:D31, "&gt;0")
</f>
        <v>26.12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" t="s">
        <v>63</v>
      </c>
      <c r="B36" s="16">
        <f> B34 - SUMIF(D2:D31, "&gt;0")
</f>
        <v>173.88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1">
    <mergeCell ref="A33:B33"/>
  </mergeCells>
  <conditionalFormatting sqref="B36">
    <cfRule type="cellIs" dxfId="4" priority="1" operator="greaterThan">
      <formula>0</formula>
    </cfRule>
  </conditionalFormatting>
  <conditionalFormatting sqref="B36">
    <cfRule type="cellIs" dxfId="5" priority="2" operator="lessThan">
      <formula>0</formula>
    </cfRule>
  </conditionalFormatting>
  <conditionalFormatting sqref="B36">
    <cfRule type="cellIs" dxfId="6" priority="3" operator="equal">
      <formula>0</formula>
    </cfRule>
  </conditionalFormatting>
  <dataValidations>
    <dataValidation type="list" allowBlank="1" showErrorMessage="1" sqref="C2:C31">
      <formula1>"Alimentação,Casa &amp; Utilidades,Transporte,Saúde &amp; Bem-estar,Lazer &amp; Entretenimento,Compras / Itens Pessoais,Trabalho / Estudos,Pets,Financeiro,Outros / Emergências"</formula1>
    </dataValidation>
  </dataValidations>
  <drawing r:id="rId1"/>
  <tableParts count="1">
    <tablePart r:id="rId3"/>
  </tableParts>
</worksheet>
</file>