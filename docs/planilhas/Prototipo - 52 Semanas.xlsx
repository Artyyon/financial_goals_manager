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nvolvimento do Protótip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tc={de8ae49a-2fda-4934-b086-ad567182a36b}</author>
    <author>tc={fbcdd032-f91e-4f46-ab3b-25fa6add870e}</author>
  </authors>
  <commentList>
    <comment authorId="0" xr:uid="{de8ae49a-2fda-4934-b086-ad567182a36b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base semanal: define o ritmo do desafio das 52 semanas.
Exemplo: se o valor base for R$ 5, na semana 1 você investe R$ 5, na semana 2 R$ 10, na semana 3 R$ 15… até o final do ciclo.
</t>
      </text>
    </comment>
    <comment authorId="1" xr:uid="{fbcdd032-f91e-4f46-ab3b-25fa6add870e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ℹ️ Por que aparece um 13º mês?
Este planejamento considera que cada mês tem 4 semanas.
Como o ano possui 52 semanas, ao dividir por 4 temos:
52 ÷ 4 = 13
Ou seja, surgem 13 “meses financeiros”, que representam ciclos de 4 semanas — não meses do calendário.
👉 O 13º mês é apenas o fechamento das últimas 4 semanas do ano, e não um erro de cálculo.
</t>
      </text>
    </comment>
  </commentList>
</comments>
</file>

<file path=xl/sharedStrings.xml><?xml version="1.0" encoding="utf-8"?>
<sst xmlns="http://schemas.openxmlformats.org/spreadsheetml/2006/main" count="21" uniqueCount="21">
  <si>
    <t>Prototipo - 52 Semanas</t>
  </si>
  <si>
    <t>CONFIGURAÇÕES</t>
  </si>
  <si>
    <t>ANALISE</t>
  </si>
  <si>
    <t>Coluna</t>
  </si>
  <si>
    <t>Valor</t>
  </si>
  <si>
    <t>Descrição</t>
  </si>
  <si>
    <t>Valor Investido</t>
  </si>
  <si>
    <t>Meta Semanal de Incremento</t>
  </si>
  <si>
    <t>Valor a ser incrementado toda semana.</t>
  </si>
  <si>
    <t>Porcentagem da Meta</t>
  </si>
  <si>
    <t>Total</t>
  </si>
  <si>
    <t>Valor total acumlado esperado.</t>
  </si>
  <si>
    <t>INVESTIMENTO</t>
  </si>
  <si>
    <t>PLANEJAMENTO</t>
  </si>
  <si>
    <t>Semana</t>
  </si>
  <si>
    <t>Investido no Mês</t>
  </si>
  <si>
    <t>Acumulado</t>
  </si>
  <si>
    <t>Extra</t>
  </si>
  <si>
    <t>Realizado?</t>
  </si>
  <si>
    <t>Mês</t>
  </si>
  <si>
    <t>Valor a Reservar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</si>
</sst>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sz val="18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Border="1" applyFont="1"/>
    <xf borderId="3" fillId="3" fontId="4" numFmtId="0" xfId="0" applyBorder="1" applyFont="1"/>
    <xf borderId="4" fillId="4" fontId="3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6" fillId="4" fontId="2" numFmtId="164" xfId="0" applyAlignment="1" applyBorder="1" applyFont="1" applyNumberFormat="1">
      <alignment horizontal="center" shrinkToFit="0" vertical="center" wrapText="1"/>
    </xf>
    <xf borderId="7" fillId="5" fontId="3" numFmtId="0" xfId="0" applyAlignment="1" applyBorder="1" applyFill="1" applyFont="1">
      <alignment horizontal="center" readingOrder="0" shrinkToFit="0" vertical="center" wrapText="1"/>
    </xf>
    <xf borderId="8" fillId="5" fontId="2" numFmtId="164" xfId="0" applyAlignment="1" applyBorder="1" applyFont="1" applyNumberFormat="1">
      <alignment horizontal="center" readingOrder="0" shrinkToFit="0" vertical="center" wrapText="1"/>
    </xf>
    <xf borderId="9" fillId="5" fontId="2" numFmtId="0" xfId="0" applyAlignment="1" applyBorder="1" applyFont="1">
      <alignment horizontal="center" readingOrder="0" shrinkToFit="0" vertical="center" wrapText="1"/>
    </xf>
    <xf borderId="10" fillId="5" fontId="3" numFmtId="0" xfId="0" applyAlignment="1" applyBorder="1" applyFont="1">
      <alignment horizontal="center" readingOrder="0" shrinkToFit="0" vertical="center" wrapText="1"/>
    </xf>
    <xf borderId="11" fillId="5" fontId="2" numFmtId="10" xfId="0" applyAlignment="1" applyBorder="1" applyFont="1" applyNumberFormat="1">
      <alignment horizontal="center" shrinkToFit="0" vertical="center" wrapText="1"/>
    </xf>
    <xf borderId="10" fillId="6" fontId="3" numFmtId="0" xfId="0" applyAlignment="1" applyBorder="1" applyFill="1" applyFont="1">
      <alignment horizontal="center" readingOrder="0" shrinkToFit="0" vertical="center" wrapText="1"/>
    </xf>
    <xf borderId="12" fillId="6" fontId="3" numFmtId="164" xfId="0" applyAlignment="1" applyBorder="1" applyFont="1" applyNumberFormat="1">
      <alignment horizontal="center" shrinkToFit="0" vertical="center" wrapText="1"/>
    </xf>
    <xf borderId="11" fillId="6" fontId="2" numFmtId="0" xfId="0" applyAlignment="1" applyBorder="1" applyFont="1">
      <alignment horizontal="center" readingOrder="0" shrinkToFit="0" vertical="center" wrapText="1"/>
    </xf>
    <xf borderId="8" fillId="5" fontId="2" numFmtId="164" xfId="0" applyAlignment="1" applyBorder="1" applyFont="1" applyNumberForma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8" fillId="4" fontId="2" numFmtId="164" xfId="0" applyAlignment="1" applyBorder="1" applyFont="1" applyNumberFormat="1">
      <alignment horizontal="center" shrinkToFit="0" vertical="center" wrapText="1"/>
    </xf>
    <xf borderId="8" fillId="4" fontId="2" numFmtId="164" xfId="0" applyAlignment="1" applyBorder="1" applyFont="1" applyNumberFormat="1">
      <alignment horizontal="center" readingOrder="0" shrinkToFit="0" vertical="center" wrapText="1"/>
    </xf>
    <xf borderId="9" fillId="4" fontId="2" numFmtId="0" xfId="0" applyAlignment="1" applyBorder="1" applyFont="1">
      <alignment horizontal="center" readingOrder="0" shrinkToFit="0" vertical="center" wrapText="1"/>
    </xf>
    <xf borderId="9" fillId="4" fontId="2" numFmtId="0" xfId="0" applyAlignment="1" applyBorder="1" applyFont="1">
      <alignment horizontal="center" shrinkToFit="0" vertical="center" wrapText="1"/>
    </xf>
    <xf borderId="11" fillId="5" fontId="2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horizontal="center" readingOrder="0" shrinkToFit="0" vertical="center" wrapText="1"/>
    </xf>
    <xf borderId="12" fillId="4" fontId="2" numFmtId="164" xfId="0" applyAlignment="1" applyBorder="1" applyFont="1" applyNumberFormat="1">
      <alignment horizontal="center" shrinkToFit="0" vertical="center" wrapText="1"/>
    </xf>
    <xf borderId="12" fillId="4" fontId="2" numFmtId="164" xfId="0" applyAlignment="1" applyBorder="1" applyFont="1" applyNumberFormat="1">
      <alignment horizontal="center" readingOrder="0" shrinkToFit="0" vertical="center" wrapText="1"/>
    </xf>
    <xf borderId="11" fillId="4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hur Paes Leme Stiegler" id="{a2e796bd-1c21-474a-b280-f5d863e3155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1-26T02:17:19.00" personId="{a2e796bd-1c21-474a-b280-f5d863e3155b}" id="{de8ae49a-2fda-4934-b086-ad567182a36b}" done="0">
    <x18tc:text xml:space="preserve">Valor base semanal: define o ritmo do desafio das 52 semanas.
Exemplo: se o valor base for R$ 5, na semana 1 você investe R$ 5, na semana 2 R$ 10, na semana 3 R$ 15… até o final do ciclo.</x18tc:text>
  </x18tc:threadedComment>
  <x18tc:threadedComment ref="H24" dT="2026-01-26T02:10:25.00" personId="{a2e796bd-1c21-474a-b280-f5d863e3155b}" id="{fbcdd032-f91e-4f46-ab3b-25fa6add870e}" done="0">
    <x18tc:text xml:space="preserve">ℹ️ Por que aparece um 13º mês?
Este planejamento considera que cada mês tem 4 semanas.
Como o ano possui 52 semanas, ao dividir por 4 temos:
52 ÷ 4 = 13
Ou seja, surgem 13 “meses financeiros”, que representam ciclos de 4 semanas — não meses do calendário.
👉 O 13º mês é apenas o fechamento das últimas 4 semanas do ano, e não um erro de cálculo.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6.13"/>
    <col customWidth="1" min="3" max="3" width="14.38"/>
    <col customWidth="1" min="4" max="4" width="26.75"/>
    <col customWidth="1" min="5" max="5" width="14.75"/>
    <col customWidth="1" min="6" max="6" width="16.75"/>
    <col customWidth="1" min="9" max="9" width="16.0"/>
  </cols>
  <sheetData>
    <row r="1">
      <c r="A1" s="1"/>
      <c r="B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/>
      <c r="B3" s="6" t="s">
        <v>1</v>
      </c>
      <c r="C3" s="7"/>
      <c r="D3" s="8"/>
      <c r="E3" s="3"/>
      <c r="F3" s="6" t="s">
        <v>2</v>
      </c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9.25" customHeight="1">
      <c r="A4" s="5"/>
      <c r="B4" s="9" t="s">
        <v>3</v>
      </c>
      <c r="C4" s="10" t="s">
        <v>4</v>
      </c>
      <c r="D4" s="11" t="s">
        <v>5</v>
      </c>
      <c r="E4" s="3"/>
      <c r="F4" s="9" t="s">
        <v>6</v>
      </c>
      <c r="G4" s="12">
        <f>SUMIF(F12:F63, TRUE, C12:D63)
 + SUMIF(F12:F63, TRUE, E12:E63)
</f>
        <v>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40.5" customHeight="1">
      <c r="A5" s="5"/>
      <c r="B5" s="13" t="s">
        <v>7</v>
      </c>
      <c r="C5" s="14">
        <v>5.0</v>
      </c>
      <c r="D5" s="15" t="s">
        <v>8</v>
      </c>
      <c r="E5" s="3"/>
      <c r="F5" s="16" t="s">
        <v>9</v>
      </c>
      <c r="G5" s="17">
        <f>SUMIF(F12:F63, TRUE, C12:C63) / SUM(C12:C63)
</f>
        <v>0.0007256894049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4.0" customHeight="1">
      <c r="A6" s="5"/>
      <c r="B6" s="18" t="s">
        <v>10</v>
      </c>
      <c r="C6" s="19">
        <f> C5 * 1378</f>
        <v>6890</v>
      </c>
      <c r="D6" s="20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5"/>
      <c r="B10" s="6" t="s">
        <v>12</v>
      </c>
      <c r="C10" s="7"/>
      <c r="D10" s="7"/>
      <c r="E10" s="7"/>
      <c r="F10" s="8"/>
      <c r="G10" s="3"/>
      <c r="H10" s="6" t="s">
        <v>13</v>
      </c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5"/>
      <c r="B11" s="9" t="s">
        <v>14</v>
      </c>
      <c r="C11" s="10" t="s">
        <v>15</v>
      </c>
      <c r="D11" s="10" t="s">
        <v>16</v>
      </c>
      <c r="E11" s="10" t="s">
        <v>17</v>
      </c>
      <c r="F11" s="11" t="s">
        <v>18</v>
      </c>
      <c r="G11" s="3"/>
      <c r="H11" s="9" t="s">
        <v>19</v>
      </c>
      <c r="I11" s="11" t="s">
        <v>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5"/>
      <c r="B12" s="13">
        <v>1.0</v>
      </c>
      <c r="C12" s="21">
        <f t="shared" ref="C12:C63" si="1"> ($C$5 * B12)</f>
        <v>5</v>
      </c>
      <c r="D12" s="21">
        <f> ($C$5 * B12)</f>
        <v>5</v>
      </c>
      <c r="E12" s="14">
        <v>0.0</v>
      </c>
      <c r="F12" s="15" t="b">
        <v>1</v>
      </c>
      <c r="G12" s="3"/>
      <c r="H12" s="13">
        <v>1.0</v>
      </c>
      <c r="I12" s="22">
        <f t="shared" ref="I12:I24" si="2">SUMIFS($C$12:$C$63, $B$12:$B$63, "&gt;="&amp;((H12-1)*4+1), $B$12:$B$63, "&lt;="&amp;(H12*4))
</f>
        <v>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5"/>
      <c r="B13" s="23">
        <v>2.0</v>
      </c>
      <c r="C13" s="24">
        <f t="shared" si="1"/>
        <v>10</v>
      </c>
      <c r="D13" s="24">
        <f t="shared" ref="D13:D63" si="3"> D12 + C13</f>
        <v>15</v>
      </c>
      <c r="E13" s="25">
        <v>0.0</v>
      </c>
      <c r="F13" s="26" t="b">
        <v>0</v>
      </c>
      <c r="G13" s="3"/>
      <c r="H13" s="23">
        <v>2.0</v>
      </c>
      <c r="I13" s="27">
        <f t="shared" si="2"/>
        <v>130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5"/>
      <c r="B14" s="13">
        <v>3.0</v>
      </c>
      <c r="C14" s="21">
        <f t="shared" si="1"/>
        <v>15</v>
      </c>
      <c r="D14" s="21">
        <f t="shared" si="3"/>
        <v>30</v>
      </c>
      <c r="E14" s="14">
        <v>0.0</v>
      </c>
      <c r="F14" s="15" t="b">
        <v>0</v>
      </c>
      <c r="G14" s="3"/>
      <c r="H14" s="13">
        <v>3.0</v>
      </c>
      <c r="I14" s="22">
        <f t="shared" si="2"/>
        <v>210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5"/>
      <c r="B15" s="23">
        <v>4.0</v>
      </c>
      <c r="C15" s="24">
        <f t="shared" si="1"/>
        <v>20</v>
      </c>
      <c r="D15" s="24">
        <f t="shared" si="3"/>
        <v>50</v>
      </c>
      <c r="E15" s="25">
        <v>0.0</v>
      </c>
      <c r="F15" s="26" t="b">
        <v>0</v>
      </c>
      <c r="G15" s="3"/>
      <c r="H15" s="23">
        <v>4.0</v>
      </c>
      <c r="I15" s="27">
        <f t="shared" si="2"/>
        <v>290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5"/>
      <c r="B16" s="13">
        <v>5.0</v>
      </c>
      <c r="C16" s="21">
        <f t="shared" si="1"/>
        <v>25</v>
      </c>
      <c r="D16" s="21">
        <f t="shared" si="3"/>
        <v>75</v>
      </c>
      <c r="E16" s="14">
        <v>0.0</v>
      </c>
      <c r="F16" s="15" t="b">
        <v>0</v>
      </c>
      <c r="G16" s="3"/>
      <c r="H16" s="13">
        <v>5.0</v>
      </c>
      <c r="I16" s="22">
        <f t="shared" si="2"/>
        <v>370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5"/>
      <c r="B17" s="23">
        <v>6.0</v>
      </c>
      <c r="C17" s="24">
        <f t="shared" si="1"/>
        <v>30</v>
      </c>
      <c r="D17" s="24">
        <f t="shared" si="3"/>
        <v>105</v>
      </c>
      <c r="E17" s="25">
        <v>0.0</v>
      </c>
      <c r="F17" s="27" t="b">
        <v>0</v>
      </c>
      <c r="G17" s="3"/>
      <c r="H17" s="23">
        <v>6.0</v>
      </c>
      <c r="I17" s="27">
        <f t="shared" si="2"/>
        <v>450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5"/>
      <c r="B18" s="13">
        <v>7.0</v>
      </c>
      <c r="C18" s="21">
        <f t="shared" si="1"/>
        <v>35</v>
      </c>
      <c r="D18" s="21">
        <f t="shared" si="3"/>
        <v>140</v>
      </c>
      <c r="E18" s="14">
        <v>0.0</v>
      </c>
      <c r="F18" s="22" t="b">
        <v>0</v>
      </c>
      <c r="G18" s="3"/>
      <c r="H18" s="13">
        <v>7.0</v>
      </c>
      <c r="I18" s="22">
        <f t="shared" si="2"/>
        <v>530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5"/>
      <c r="B19" s="23">
        <v>8.0</v>
      </c>
      <c r="C19" s="24">
        <f t="shared" si="1"/>
        <v>40</v>
      </c>
      <c r="D19" s="24">
        <f t="shared" si="3"/>
        <v>180</v>
      </c>
      <c r="E19" s="25">
        <v>0.0</v>
      </c>
      <c r="F19" s="27" t="b">
        <v>0</v>
      </c>
      <c r="G19" s="3"/>
      <c r="H19" s="23">
        <v>8.0</v>
      </c>
      <c r="I19" s="27">
        <f t="shared" si="2"/>
        <v>610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5"/>
      <c r="B20" s="13">
        <v>9.0</v>
      </c>
      <c r="C20" s="21">
        <f t="shared" si="1"/>
        <v>45</v>
      </c>
      <c r="D20" s="21">
        <f t="shared" si="3"/>
        <v>225</v>
      </c>
      <c r="E20" s="14">
        <v>0.0</v>
      </c>
      <c r="F20" s="22" t="b">
        <v>0</v>
      </c>
      <c r="G20" s="3"/>
      <c r="H20" s="13">
        <v>9.0</v>
      </c>
      <c r="I20" s="22">
        <f t="shared" si="2"/>
        <v>690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5"/>
      <c r="B21" s="23">
        <v>10.0</v>
      </c>
      <c r="C21" s="24">
        <f t="shared" si="1"/>
        <v>50</v>
      </c>
      <c r="D21" s="24">
        <f t="shared" si="3"/>
        <v>275</v>
      </c>
      <c r="E21" s="25">
        <v>0.0</v>
      </c>
      <c r="F21" s="27" t="b">
        <v>0</v>
      </c>
      <c r="G21" s="3"/>
      <c r="H21" s="23">
        <v>10.0</v>
      </c>
      <c r="I21" s="27">
        <f t="shared" si="2"/>
        <v>770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5"/>
      <c r="B22" s="13">
        <v>11.0</v>
      </c>
      <c r="C22" s="21">
        <f t="shared" si="1"/>
        <v>55</v>
      </c>
      <c r="D22" s="21">
        <f t="shared" si="3"/>
        <v>330</v>
      </c>
      <c r="E22" s="14">
        <v>0.0</v>
      </c>
      <c r="F22" s="22" t="b">
        <v>0</v>
      </c>
      <c r="G22" s="3"/>
      <c r="H22" s="13">
        <v>11.0</v>
      </c>
      <c r="I22" s="22">
        <f t="shared" si="2"/>
        <v>850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5"/>
      <c r="B23" s="23">
        <v>12.0</v>
      </c>
      <c r="C23" s="24">
        <f t="shared" si="1"/>
        <v>60</v>
      </c>
      <c r="D23" s="24">
        <f t="shared" si="3"/>
        <v>390</v>
      </c>
      <c r="E23" s="25">
        <v>0.0</v>
      </c>
      <c r="F23" s="27" t="b">
        <v>0</v>
      </c>
      <c r="G23" s="3"/>
      <c r="H23" s="23">
        <v>12.0</v>
      </c>
      <c r="I23" s="27">
        <f t="shared" si="2"/>
        <v>930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5"/>
      <c r="B24" s="13">
        <v>13.0</v>
      </c>
      <c r="C24" s="21">
        <f t="shared" si="1"/>
        <v>65</v>
      </c>
      <c r="D24" s="21">
        <f t="shared" si="3"/>
        <v>455</v>
      </c>
      <c r="E24" s="14">
        <v>0.0</v>
      </c>
      <c r="F24" s="22" t="b">
        <v>0</v>
      </c>
      <c r="G24" s="3"/>
      <c r="H24" s="16">
        <v>13.0</v>
      </c>
      <c r="I24" s="28">
        <f t="shared" si="2"/>
        <v>1010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5"/>
      <c r="B25" s="23">
        <v>14.0</v>
      </c>
      <c r="C25" s="24">
        <f t="shared" si="1"/>
        <v>70</v>
      </c>
      <c r="D25" s="24">
        <f t="shared" si="3"/>
        <v>525</v>
      </c>
      <c r="E25" s="25">
        <v>0.0</v>
      </c>
      <c r="F25" s="27" t="b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5"/>
      <c r="B26" s="13">
        <v>15.0</v>
      </c>
      <c r="C26" s="21">
        <f t="shared" si="1"/>
        <v>75</v>
      </c>
      <c r="D26" s="21">
        <f t="shared" si="3"/>
        <v>600</v>
      </c>
      <c r="E26" s="14">
        <v>0.0</v>
      </c>
      <c r="F26" s="22" t="b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5"/>
      <c r="B27" s="23">
        <v>16.0</v>
      </c>
      <c r="C27" s="24">
        <f t="shared" si="1"/>
        <v>80</v>
      </c>
      <c r="D27" s="24">
        <f t="shared" si="3"/>
        <v>680</v>
      </c>
      <c r="E27" s="25">
        <v>0.0</v>
      </c>
      <c r="F27" s="27" t="b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5"/>
      <c r="B28" s="13">
        <v>17.0</v>
      </c>
      <c r="C28" s="21">
        <f t="shared" si="1"/>
        <v>85</v>
      </c>
      <c r="D28" s="21">
        <f t="shared" si="3"/>
        <v>765</v>
      </c>
      <c r="E28" s="14">
        <v>0.0</v>
      </c>
      <c r="F28" s="22" t="b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5"/>
      <c r="B29" s="23">
        <v>18.0</v>
      </c>
      <c r="C29" s="24">
        <f t="shared" si="1"/>
        <v>90</v>
      </c>
      <c r="D29" s="24">
        <f t="shared" si="3"/>
        <v>855</v>
      </c>
      <c r="E29" s="25">
        <v>0.0</v>
      </c>
      <c r="F29" s="27" t="b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5"/>
      <c r="B30" s="13">
        <v>19.0</v>
      </c>
      <c r="C30" s="21">
        <f t="shared" si="1"/>
        <v>95</v>
      </c>
      <c r="D30" s="21">
        <f t="shared" si="3"/>
        <v>950</v>
      </c>
      <c r="E30" s="14">
        <v>0.0</v>
      </c>
      <c r="F30" s="22" t="b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5"/>
      <c r="B31" s="23">
        <v>20.0</v>
      </c>
      <c r="C31" s="24">
        <f t="shared" si="1"/>
        <v>100</v>
      </c>
      <c r="D31" s="24">
        <f t="shared" si="3"/>
        <v>1050</v>
      </c>
      <c r="E31" s="25">
        <v>0.0</v>
      </c>
      <c r="F31" s="27" t="b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5"/>
      <c r="B32" s="13">
        <v>21.0</v>
      </c>
      <c r="C32" s="21">
        <f t="shared" si="1"/>
        <v>105</v>
      </c>
      <c r="D32" s="21">
        <f t="shared" si="3"/>
        <v>1155</v>
      </c>
      <c r="E32" s="14">
        <v>0.0</v>
      </c>
      <c r="F32" s="22" t="b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5"/>
      <c r="B33" s="23">
        <v>22.0</v>
      </c>
      <c r="C33" s="24">
        <f t="shared" si="1"/>
        <v>110</v>
      </c>
      <c r="D33" s="24">
        <f t="shared" si="3"/>
        <v>1265</v>
      </c>
      <c r="E33" s="25">
        <v>0.0</v>
      </c>
      <c r="F33" s="27" t="b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5"/>
      <c r="B34" s="13">
        <v>23.0</v>
      </c>
      <c r="C34" s="21">
        <f t="shared" si="1"/>
        <v>115</v>
      </c>
      <c r="D34" s="21">
        <f t="shared" si="3"/>
        <v>1380</v>
      </c>
      <c r="E34" s="14">
        <v>0.0</v>
      </c>
      <c r="F34" s="22" t="b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5"/>
      <c r="B35" s="23">
        <v>24.0</v>
      </c>
      <c r="C35" s="24">
        <f t="shared" si="1"/>
        <v>120</v>
      </c>
      <c r="D35" s="24">
        <f t="shared" si="3"/>
        <v>1500</v>
      </c>
      <c r="E35" s="25">
        <v>0.0</v>
      </c>
      <c r="F35" s="27" t="b"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5"/>
      <c r="B36" s="13">
        <v>25.0</v>
      </c>
      <c r="C36" s="21">
        <f t="shared" si="1"/>
        <v>125</v>
      </c>
      <c r="D36" s="21">
        <f t="shared" si="3"/>
        <v>1625</v>
      </c>
      <c r="E36" s="14">
        <v>0.0</v>
      </c>
      <c r="F36" s="22" t="b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5"/>
      <c r="B37" s="23">
        <v>26.0</v>
      </c>
      <c r="C37" s="24">
        <f t="shared" si="1"/>
        <v>130</v>
      </c>
      <c r="D37" s="24">
        <f t="shared" si="3"/>
        <v>1755</v>
      </c>
      <c r="E37" s="25">
        <v>0.0</v>
      </c>
      <c r="F37" s="27" t="b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5"/>
      <c r="B38" s="13">
        <v>27.0</v>
      </c>
      <c r="C38" s="21">
        <f t="shared" si="1"/>
        <v>135</v>
      </c>
      <c r="D38" s="21">
        <f t="shared" si="3"/>
        <v>1890</v>
      </c>
      <c r="E38" s="14">
        <v>0.0</v>
      </c>
      <c r="F38" s="22" t="b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5"/>
      <c r="B39" s="23">
        <v>28.0</v>
      </c>
      <c r="C39" s="24">
        <f t="shared" si="1"/>
        <v>140</v>
      </c>
      <c r="D39" s="24">
        <f t="shared" si="3"/>
        <v>2030</v>
      </c>
      <c r="E39" s="25">
        <v>0.0</v>
      </c>
      <c r="F39" s="27" t="b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5"/>
      <c r="B40" s="13">
        <v>29.0</v>
      </c>
      <c r="C40" s="21">
        <f t="shared" si="1"/>
        <v>145</v>
      </c>
      <c r="D40" s="21">
        <f t="shared" si="3"/>
        <v>2175</v>
      </c>
      <c r="E40" s="14">
        <v>0.0</v>
      </c>
      <c r="F40" s="22" t="b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5"/>
      <c r="B41" s="23">
        <v>30.0</v>
      </c>
      <c r="C41" s="24">
        <f t="shared" si="1"/>
        <v>150</v>
      </c>
      <c r="D41" s="24">
        <f t="shared" si="3"/>
        <v>2325</v>
      </c>
      <c r="E41" s="25">
        <v>0.0</v>
      </c>
      <c r="F41" s="27" t="b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5"/>
      <c r="B42" s="13">
        <v>31.0</v>
      </c>
      <c r="C42" s="21">
        <f t="shared" si="1"/>
        <v>155</v>
      </c>
      <c r="D42" s="21">
        <f t="shared" si="3"/>
        <v>2480</v>
      </c>
      <c r="E42" s="14">
        <v>0.0</v>
      </c>
      <c r="F42" s="22" t="b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5"/>
      <c r="B43" s="23">
        <v>32.0</v>
      </c>
      <c r="C43" s="24">
        <f t="shared" si="1"/>
        <v>160</v>
      </c>
      <c r="D43" s="24">
        <f t="shared" si="3"/>
        <v>2640</v>
      </c>
      <c r="E43" s="25">
        <v>0.0</v>
      </c>
      <c r="F43" s="27" t="b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5"/>
      <c r="B44" s="13">
        <v>33.0</v>
      </c>
      <c r="C44" s="21">
        <f t="shared" si="1"/>
        <v>165</v>
      </c>
      <c r="D44" s="21">
        <f t="shared" si="3"/>
        <v>2805</v>
      </c>
      <c r="E44" s="14">
        <v>0.0</v>
      </c>
      <c r="F44" s="22" t="b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5"/>
      <c r="B45" s="23">
        <v>34.0</v>
      </c>
      <c r="C45" s="24">
        <f t="shared" si="1"/>
        <v>170</v>
      </c>
      <c r="D45" s="24">
        <f t="shared" si="3"/>
        <v>2975</v>
      </c>
      <c r="E45" s="25">
        <v>0.0</v>
      </c>
      <c r="F45" s="27" t="b"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5"/>
      <c r="B46" s="13">
        <v>35.0</v>
      </c>
      <c r="C46" s="21">
        <f t="shared" si="1"/>
        <v>175</v>
      </c>
      <c r="D46" s="21">
        <f t="shared" si="3"/>
        <v>3150</v>
      </c>
      <c r="E46" s="14">
        <v>0.0</v>
      </c>
      <c r="F46" s="22" t="b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5"/>
      <c r="B47" s="23">
        <v>36.0</v>
      </c>
      <c r="C47" s="24">
        <f t="shared" si="1"/>
        <v>180</v>
      </c>
      <c r="D47" s="24">
        <f t="shared" si="3"/>
        <v>3330</v>
      </c>
      <c r="E47" s="25">
        <v>0.0</v>
      </c>
      <c r="F47" s="27" t="b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5"/>
      <c r="B48" s="13">
        <v>37.0</v>
      </c>
      <c r="C48" s="21">
        <f t="shared" si="1"/>
        <v>185</v>
      </c>
      <c r="D48" s="21">
        <f t="shared" si="3"/>
        <v>3515</v>
      </c>
      <c r="E48" s="14">
        <v>0.0</v>
      </c>
      <c r="F48" s="22" t="b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5"/>
      <c r="B49" s="23">
        <v>38.0</v>
      </c>
      <c r="C49" s="24">
        <f t="shared" si="1"/>
        <v>190</v>
      </c>
      <c r="D49" s="24">
        <f t="shared" si="3"/>
        <v>3705</v>
      </c>
      <c r="E49" s="25">
        <v>0.0</v>
      </c>
      <c r="F49" s="27" t="b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5"/>
      <c r="B50" s="13">
        <v>39.0</v>
      </c>
      <c r="C50" s="21">
        <f t="shared" si="1"/>
        <v>195</v>
      </c>
      <c r="D50" s="21">
        <f t="shared" si="3"/>
        <v>3900</v>
      </c>
      <c r="E50" s="14">
        <v>0.0</v>
      </c>
      <c r="F50" s="22" t="b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5"/>
      <c r="B51" s="23">
        <v>40.0</v>
      </c>
      <c r="C51" s="24">
        <f t="shared" si="1"/>
        <v>200</v>
      </c>
      <c r="D51" s="24">
        <f t="shared" si="3"/>
        <v>4100</v>
      </c>
      <c r="E51" s="25">
        <v>0.0</v>
      </c>
      <c r="F51" s="27" t="b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5"/>
      <c r="B52" s="13">
        <v>41.0</v>
      </c>
      <c r="C52" s="21">
        <f t="shared" si="1"/>
        <v>205</v>
      </c>
      <c r="D52" s="21">
        <f t="shared" si="3"/>
        <v>4305</v>
      </c>
      <c r="E52" s="14">
        <v>0.0</v>
      </c>
      <c r="F52" s="22" t="b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5"/>
      <c r="B53" s="23">
        <v>42.0</v>
      </c>
      <c r="C53" s="24">
        <f t="shared" si="1"/>
        <v>210</v>
      </c>
      <c r="D53" s="24">
        <f t="shared" si="3"/>
        <v>4515</v>
      </c>
      <c r="E53" s="25">
        <v>0.0</v>
      </c>
      <c r="F53" s="27" t="b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5"/>
      <c r="B54" s="13">
        <v>43.0</v>
      </c>
      <c r="C54" s="21">
        <f t="shared" si="1"/>
        <v>215</v>
      </c>
      <c r="D54" s="21">
        <f t="shared" si="3"/>
        <v>4730</v>
      </c>
      <c r="E54" s="14">
        <v>0.0</v>
      </c>
      <c r="F54" s="22" t="b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5"/>
      <c r="B55" s="23">
        <v>44.0</v>
      </c>
      <c r="C55" s="24">
        <f t="shared" si="1"/>
        <v>220</v>
      </c>
      <c r="D55" s="24">
        <f t="shared" si="3"/>
        <v>4950</v>
      </c>
      <c r="E55" s="25">
        <v>0.0</v>
      </c>
      <c r="F55" s="27" t="b"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5"/>
      <c r="B56" s="13">
        <v>45.0</v>
      </c>
      <c r="C56" s="21">
        <f t="shared" si="1"/>
        <v>225</v>
      </c>
      <c r="D56" s="21">
        <f t="shared" si="3"/>
        <v>5175</v>
      </c>
      <c r="E56" s="14">
        <v>0.0</v>
      </c>
      <c r="F56" s="22" t="b"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5"/>
      <c r="B57" s="23">
        <v>46.0</v>
      </c>
      <c r="C57" s="24">
        <f t="shared" si="1"/>
        <v>230</v>
      </c>
      <c r="D57" s="24">
        <f t="shared" si="3"/>
        <v>5405</v>
      </c>
      <c r="E57" s="25">
        <v>0.0</v>
      </c>
      <c r="F57" s="27" t="b"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5"/>
      <c r="B58" s="13">
        <v>47.0</v>
      </c>
      <c r="C58" s="21">
        <f t="shared" si="1"/>
        <v>235</v>
      </c>
      <c r="D58" s="21">
        <f t="shared" si="3"/>
        <v>5640</v>
      </c>
      <c r="E58" s="14">
        <v>0.0</v>
      </c>
      <c r="F58" s="22" t="b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5"/>
      <c r="B59" s="23">
        <v>48.0</v>
      </c>
      <c r="C59" s="24">
        <f t="shared" si="1"/>
        <v>240</v>
      </c>
      <c r="D59" s="24">
        <f t="shared" si="3"/>
        <v>5880</v>
      </c>
      <c r="E59" s="25">
        <v>0.0</v>
      </c>
      <c r="F59" s="27" t="b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5"/>
      <c r="B60" s="13">
        <v>49.0</v>
      </c>
      <c r="C60" s="21">
        <f t="shared" si="1"/>
        <v>245</v>
      </c>
      <c r="D60" s="21">
        <f t="shared" si="3"/>
        <v>6125</v>
      </c>
      <c r="E60" s="14">
        <v>0.0</v>
      </c>
      <c r="F60" s="22" t="b"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5"/>
      <c r="B61" s="23">
        <v>50.0</v>
      </c>
      <c r="C61" s="24">
        <f t="shared" si="1"/>
        <v>250</v>
      </c>
      <c r="D61" s="24">
        <f t="shared" si="3"/>
        <v>6375</v>
      </c>
      <c r="E61" s="25">
        <v>0.0</v>
      </c>
      <c r="F61" s="27" t="b"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5"/>
      <c r="B62" s="13">
        <v>51.0</v>
      </c>
      <c r="C62" s="21">
        <f t="shared" si="1"/>
        <v>255</v>
      </c>
      <c r="D62" s="21">
        <f t="shared" si="3"/>
        <v>6630</v>
      </c>
      <c r="E62" s="14">
        <v>0.0</v>
      </c>
      <c r="F62" s="22" t="b"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5"/>
      <c r="B63" s="29">
        <v>52.0</v>
      </c>
      <c r="C63" s="30">
        <f t="shared" si="1"/>
        <v>260</v>
      </c>
      <c r="D63" s="30">
        <f t="shared" si="3"/>
        <v>6890</v>
      </c>
      <c r="E63" s="31">
        <v>0.0</v>
      </c>
      <c r="F63" s="32" t="b"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</sheetData>
  <mergeCells count="5">
    <mergeCell ref="B3:D3"/>
    <mergeCell ref="B10:F10"/>
    <mergeCell ref="F3:G3"/>
    <mergeCell ref="H10:I10"/>
    <mergeCell ref="B1:I1"/>
  </mergeCells>
  <drawing r:id="rId4"/>
  <legacyDrawing r:id="rId5"/>
</worksheet>
</file>